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ettings" sheetId="2" state="visible" r:id="rId2"/>
    <sheet name="User" sheetId="3" state="visible" r:id="rId3"/>
    <sheet name="Creators" sheetId="4" state="visible" r:id="rId4"/>
    <sheet name="Ite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4EE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Loopline model · IBDS Sprint 3 · synthetic teaching data (not a real platform)</t>
        </is>
      </c>
    </row>
    <row r="2">
      <c r="A2" t="inlineStr"/>
    </row>
    <row r="3">
      <c r="A3" t="inlineStr">
        <is>
          <t>Change the weights on the Settings sheet. The Items sheet recalculates c, m, f, n and both scores.</t>
        </is>
      </c>
    </row>
    <row r="4">
      <c r="A4" t="inlineStr">
        <is>
          <t>Rules: length_s ≤ 0 → EXCLUDED; blank avg_watch_s → cold start c = 0.50; topics trimmed and lower-cased; ties: higher c, then lower item_id.</t>
        </is>
      </c>
    </row>
    <row r="5">
      <c r="A5" t="inlineStr">
        <is>
          <t>Check your hand calculations first; the spreadsheet is a checking tool, not the answer.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a (c)</t>
        </is>
      </c>
      <c r="C1" s="1" t="inlineStr">
        <is>
          <t>b (m)</t>
        </is>
      </c>
      <c r="D1" s="1" t="inlineStr">
        <is>
          <t>d (f)</t>
        </is>
      </c>
      <c r="E1" s="1" t="inlineStr">
        <is>
          <t>e (n)</t>
        </is>
      </c>
    </row>
    <row r="2">
      <c r="A2" t="inlineStr">
        <is>
          <t>E</t>
        </is>
      </c>
      <c r="B2" t="n">
        <v>3</v>
      </c>
      <c r="C2" t="n">
        <v>2</v>
      </c>
      <c r="D2" t="n">
        <v>1</v>
      </c>
      <c r="E2" t="n">
        <v>0</v>
      </c>
    </row>
    <row r="3">
      <c r="A3" t="inlineStr">
        <is>
          <t>D</t>
        </is>
      </c>
      <c r="B3" t="n">
        <v>3</v>
      </c>
      <c r="C3" t="n">
        <v>1</v>
      </c>
      <c r="D3" t="n">
        <v>1</v>
      </c>
      <c r="E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recent_topics</t>
        </is>
      </c>
      <c r="B1" s="1" t="inlineStr">
        <is>
          <t>watched_creators</t>
        </is>
      </c>
    </row>
    <row r="2">
      <c r="A2" t="inlineStr">
        <is>
          <t>cooking</t>
        </is>
      </c>
      <c r="B2" t="inlineStr">
        <is>
          <t>K1</t>
        </is>
      </c>
    </row>
    <row r="3">
      <c r="A3" t="inlineStr">
        <is>
          <t>football</t>
        </is>
      </c>
      <c r="B3" t="inlineStr">
        <is>
          <t>K2</t>
        </is>
      </c>
    </row>
    <row r="4">
      <c r="A4" t="inlineStr"/>
      <c r="B4" t="inlineStr">
        <is>
          <t>K3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creator_id</t>
        </is>
      </c>
      <c r="B1" s="1" t="inlineStr">
        <is>
          <t>handle</t>
        </is>
      </c>
      <c r="C1" s="1" t="inlineStr">
        <is>
          <t>home_country</t>
        </is>
      </c>
      <c r="D1" s="1" t="inlineStr">
        <is>
          <t>joined_days_ago</t>
        </is>
      </c>
    </row>
    <row r="2">
      <c r="A2" t="inlineStr">
        <is>
          <t>K1</t>
        </is>
      </c>
      <c r="B2" t="inlineStr">
        <is>
          <t>kitchen_kasia</t>
        </is>
      </c>
      <c r="C2" t="inlineStr">
        <is>
          <t>Canada</t>
        </is>
      </c>
      <c r="D2" t="n">
        <v>900</v>
      </c>
    </row>
    <row r="3">
      <c r="A3" t="inlineStr">
        <is>
          <t>K2</t>
        </is>
      </c>
      <c r="B3" t="inlineStr">
        <is>
          <t>bola_bruno</t>
        </is>
      </c>
      <c r="C3" t="inlineStr">
        <is>
          <t>Brazil</t>
        </is>
      </c>
      <c r="D3" t="n">
        <v>700</v>
      </c>
    </row>
    <row r="4">
      <c r="A4" t="inlineStr">
        <is>
          <t>K3</t>
        </is>
      </c>
      <c r="B4" t="inlineStr">
        <is>
          <t>pitchside_priya</t>
        </is>
      </c>
      <c r="C4" t="inlineStr">
        <is>
          <t>United Kingdom</t>
        </is>
      </c>
      <c r="D4" t="n">
        <v>1200</v>
      </c>
    </row>
    <row r="5">
      <c r="A5" t="inlineStr">
        <is>
          <t>K4</t>
        </is>
      </c>
      <c r="B5" t="inlineStr">
        <is>
          <t>lab_wanjiru</t>
        </is>
      </c>
      <c r="C5" t="inlineStr">
        <is>
          <t>Kenya</t>
        </is>
      </c>
      <c r="D5" t="n">
        <v>21</v>
      </c>
    </row>
    <row r="6">
      <c r="A6" t="inlineStr">
        <is>
          <t>K5</t>
        </is>
      </c>
      <c r="B6" t="inlineStr">
        <is>
          <t>tala_tunes</t>
        </is>
      </c>
      <c r="C6" t="inlineStr">
        <is>
          <t>Philippines</t>
        </is>
      </c>
      <c r="D6" t="n">
        <v>400</v>
      </c>
    </row>
    <row r="7">
      <c r="A7" t="inlineStr">
        <is>
          <t>K6</t>
        </is>
      </c>
      <c r="B7" t="inlineStr">
        <is>
          <t>trazo_mateo</t>
        </is>
      </c>
      <c r="C7" t="inlineStr">
        <is>
          <t>Mexico</t>
        </is>
      </c>
      <c r="D7" t="n">
        <v>9</v>
      </c>
    </row>
    <row r="8">
      <c r="A8" t="inlineStr">
        <is>
          <t>K7</t>
        </is>
      </c>
      <c r="B8" t="inlineStr">
        <is>
          <t>orbit_anika</t>
        </is>
      </c>
      <c r="C8" t="inlineStr">
        <is>
          <t>India</t>
        </is>
      </c>
      <c r="D8" t="n">
        <v>35</v>
      </c>
    </row>
    <row r="9">
      <c r="A9" t="inlineStr">
        <is>
          <t>K8</t>
        </is>
      </c>
      <c r="B9" t="inlineStr">
        <is>
          <t>palabra_lucia</t>
        </is>
      </c>
      <c r="C9" t="inlineStr">
        <is>
          <t>Canada</t>
        </is>
      </c>
      <c r="D9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creator_id</t>
        </is>
      </c>
      <c r="C1" s="1" t="inlineStr">
        <is>
          <t>topic_raw</t>
        </is>
      </c>
      <c r="D1" s="1" t="inlineStr">
        <is>
          <t>length_s</t>
        </is>
      </c>
      <c r="E1" s="1" t="inlineStr">
        <is>
          <t>avg_watch_s</t>
        </is>
      </c>
      <c r="F1" s="1" t="inlineStr">
        <is>
          <t>age_days</t>
        </is>
      </c>
      <c r="G1" s="1" t="inlineStr">
        <is>
          <t>topic</t>
        </is>
      </c>
      <c r="H1" s="1" t="inlineStr">
        <is>
          <t>c</t>
        </is>
      </c>
      <c r="I1" s="1" t="inlineStr">
        <is>
          <t>m</t>
        </is>
      </c>
      <c r="J1" s="1" t="inlineStr">
        <is>
          <t>f</t>
        </is>
      </c>
      <c r="K1" s="1" t="inlineStr">
        <is>
          <t>n</t>
        </is>
      </c>
      <c r="L1" s="1" t="inlineStr">
        <is>
          <t>score_E</t>
        </is>
      </c>
      <c r="M1" s="1" t="inlineStr">
        <is>
          <t>score_D</t>
        </is>
      </c>
    </row>
    <row r="2">
      <c r="A2" t="inlineStr">
        <is>
          <t>V01</t>
        </is>
      </c>
      <c r="B2" t="inlineStr">
        <is>
          <t>K1</t>
        </is>
      </c>
      <c r="C2" t="inlineStr">
        <is>
          <t>cooking</t>
        </is>
      </c>
      <c r="D2" t="n">
        <v>40</v>
      </c>
      <c r="E2" t="n">
        <v>32</v>
      </c>
      <c r="F2" t="n">
        <v>5</v>
      </c>
      <c r="G2">
        <f>LOWER(TRIM(C2))</f>
        <v/>
      </c>
      <c r="H2">
        <f>IF(D2&lt;=0,"EXCLUDED",IF(E2="",0.5,E2/D2))</f>
        <v/>
      </c>
      <c r="I2">
        <f>IF(COUNTIF(User!$A$2:$A$4,G2)&gt;0,1,0)</f>
        <v/>
      </c>
      <c r="J2">
        <f>IF(F2&lt;=2,1,0)</f>
        <v/>
      </c>
      <c r="K2">
        <f>IF(COUNTIF(User!$B$2:$B$4,B2)&gt;0,0,1)</f>
        <v/>
      </c>
      <c r="L2">
        <f>IF(ISNUMBER(H2),Settings!$B$2*H2+Settings!$C$2*I2+Settings!$D$2*J2+Settings!$E$2*K2,"")</f>
        <v/>
      </c>
      <c r="M2">
        <f>IF(ISNUMBER(H2),Settings!$B$3*H2+Settings!$C$3*I2+Settings!$D$3*J2+Settings!$E$3*K2,"")</f>
        <v/>
      </c>
    </row>
    <row r="3">
      <c r="A3" t="inlineStr">
        <is>
          <t>V02</t>
        </is>
      </c>
      <c r="B3" t="inlineStr">
        <is>
          <t>K2</t>
        </is>
      </c>
      <c r="C3" t="inlineStr">
        <is>
          <t>football</t>
        </is>
      </c>
      <c r="D3" t="n">
        <v>20</v>
      </c>
      <c r="E3" t="n">
        <v>18</v>
      </c>
      <c r="F3" t="n">
        <v>1</v>
      </c>
      <c r="G3">
        <f>LOWER(TRIM(C3))</f>
        <v/>
      </c>
      <c r="H3">
        <f>IF(D3&lt;=0,"EXCLUDED",IF(E3="",0.5,E3/D3))</f>
        <v/>
      </c>
      <c r="I3">
        <f>IF(COUNTIF(User!$A$2:$A$4,G3)&gt;0,1,0)</f>
        <v/>
      </c>
      <c r="J3">
        <f>IF(F3&lt;=2,1,0)</f>
        <v/>
      </c>
      <c r="K3">
        <f>IF(COUNTIF(User!$B$2:$B$4,B3)&gt;0,0,1)</f>
        <v/>
      </c>
      <c r="L3">
        <f>IF(ISNUMBER(H3),Settings!$B$2*H3+Settings!$C$2*I3+Settings!$D$2*J3+Settings!$E$2*K3,"")</f>
        <v/>
      </c>
      <c r="M3">
        <f>IF(ISNUMBER(H3),Settings!$B$3*H3+Settings!$C$3*I3+Settings!$D$3*J3+Settings!$E$3*K3,"")</f>
        <v/>
      </c>
    </row>
    <row r="4">
      <c r="A4" t="inlineStr">
        <is>
          <t>V03</t>
        </is>
      </c>
      <c r="B4" t="inlineStr">
        <is>
          <t>K4</t>
        </is>
      </c>
      <c r="C4" t="inlineStr">
        <is>
          <t>science</t>
        </is>
      </c>
      <c r="D4" t="n">
        <v>30</v>
      </c>
      <c r="E4" t="n">
        <v>21</v>
      </c>
      <c r="F4" t="n">
        <v>1</v>
      </c>
      <c r="G4">
        <f>LOWER(TRIM(C4))</f>
        <v/>
      </c>
      <c r="H4">
        <f>IF(D4&lt;=0,"EXCLUDED",IF(E4="",0.5,E4/D4))</f>
        <v/>
      </c>
      <c r="I4">
        <f>IF(COUNTIF(User!$A$2:$A$4,G4)&gt;0,1,0)</f>
        <v/>
      </c>
      <c r="J4">
        <f>IF(F4&lt;=2,1,0)</f>
        <v/>
      </c>
      <c r="K4">
        <f>IF(COUNTIF(User!$B$2:$B$4,B4)&gt;0,0,1)</f>
        <v/>
      </c>
      <c r="L4">
        <f>IF(ISNUMBER(H4),Settings!$B$2*H4+Settings!$C$2*I4+Settings!$D$2*J4+Settings!$E$2*K4,"")</f>
        <v/>
      </c>
      <c r="M4">
        <f>IF(ISNUMBER(H4),Settings!$B$3*H4+Settings!$C$3*I4+Settings!$D$3*J4+Settings!$E$3*K4,"")</f>
        <v/>
      </c>
    </row>
    <row r="5">
      <c r="A5" t="inlineStr">
        <is>
          <t>V04</t>
        </is>
      </c>
      <c r="B5" t="inlineStr">
        <is>
          <t>K1</t>
        </is>
      </c>
      <c r="C5" t="inlineStr">
        <is>
          <t>cooking</t>
        </is>
      </c>
      <c r="D5" t="n">
        <v>60</v>
      </c>
      <c r="E5" t="n">
        <v>30</v>
      </c>
      <c r="F5" t="n">
        <v>3</v>
      </c>
      <c r="G5">
        <f>LOWER(TRIM(C5))</f>
        <v/>
      </c>
      <c r="H5">
        <f>IF(D5&lt;=0,"EXCLUDED",IF(E5="",0.5,E5/D5))</f>
        <v/>
      </c>
      <c r="I5">
        <f>IF(COUNTIF(User!$A$2:$A$4,G5)&gt;0,1,0)</f>
        <v/>
      </c>
      <c r="J5">
        <f>IF(F5&lt;=2,1,0)</f>
        <v/>
      </c>
      <c r="K5">
        <f>IF(COUNTIF(User!$B$2:$B$4,B5)&gt;0,0,1)</f>
        <v/>
      </c>
      <c r="L5">
        <f>IF(ISNUMBER(H5),Settings!$B$2*H5+Settings!$C$2*I5+Settings!$D$2*J5+Settings!$E$2*K5,"")</f>
        <v/>
      </c>
      <c r="M5">
        <f>IF(ISNUMBER(H5),Settings!$B$3*H5+Settings!$C$3*I5+Settings!$D$3*J5+Settings!$E$3*K5,"")</f>
        <v/>
      </c>
    </row>
    <row r="6">
      <c r="A6" t="inlineStr">
        <is>
          <t>V05</t>
        </is>
      </c>
      <c r="B6" t="inlineStr">
        <is>
          <t>K5</t>
        </is>
      </c>
      <c r="C6" t="inlineStr">
        <is>
          <t>music</t>
        </is>
      </c>
      <c r="D6" t="n">
        <v>25</v>
      </c>
      <c r="E6" t="n">
        <v>20</v>
      </c>
      <c r="F6" t="n">
        <v>6</v>
      </c>
      <c r="G6">
        <f>LOWER(TRIM(C6))</f>
        <v/>
      </c>
      <c r="H6">
        <f>IF(D6&lt;=0,"EXCLUDED",IF(E6="",0.5,E6/D6))</f>
        <v/>
      </c>
      <c r="I6">
        <f>IF(COUNTIF(User!$A$2:$A$4,G6)&gt;0,1,0)</f>
        <v/>
      </c>
      <c r="J6">
        <f>IF(F6&lt;=2,1,0)</f>
        <v/>
      </c>
      <c r="K6">
        <f>IF(COUNTIF(User!$B$2:$B$4,B6)&gt;0,0,1)</f>
        <v/>
      </c>
      <c r="L6">
        <f>IF(ISNUMBER(H6),Settings!$B$2*H6+Settings!$C$2*I6+Settings!$D$2*J6+Settings!$E$2*K6,"")</f>
        <v/>
      </c>
      <c r="M6">
        <f>IF(ISNUMBER(H6),Settings!$B$3*H6+Settings!$C$3*I6+Settings!$D$3*J6+Settings!$E$3*K6,"")</f>
        <v/>
      </c>
    </row>
    <row r="7">
      <c r="A7" t="inlineStr">
        <is>
          <t>V06</t>
        </is>
      </c>
      <c r="B7" t="inlineStr">
        <is>
          <t>K3</t>
        </is>
      </c>
      <c r="C7" t="inlineStr">
        <is>
          <t>football</t>
        </is>
      </c>
      <c r="D7" t="n">
        <v>50</v>
      </c>
      <c r="E7" t="n">
        <v>20</v>
      </c>
      <c r="F7" t="n">
        <v>2</v>
      </c>
      <c r="G7">
        <f>LOWER(TRIM(C7))</f>
        <v/>
      </c>
      <c r="H7">
        <f>IF(D7&lt;=0,"EXCLUDED",IF(E7="",0.5,E7/D7))</f>
        <v/>
      </c>
      <c r="I7">
        <f>IF(COUNTIF(User!$A$2:$A$4,G7)&gt;0,1,0)</f>
        <v/>
      </c>
      <c r="J7">
        <f>IF(F7&lt;=2,1,0)</f>
        <v/>
      </c>
      <c r="K7">
        <f>IF(COUNTIF(User!$B$2:$B$4,B7)&gt;0,0,1)</f>
        <v/>
      </c>
      <c r="L7">
        <f>IF(ISNUMBER(H7),Settings!$B$2*H7+Settings!$C$2*I7+Settings!$D$2*J7+Settings!$E$2*K7,"")</f>
        <v/>
      </c>
      <c r="M7">
        <f>IF(ISNUMBER(H7),Settings!$B$3*H7+Settings!$C$3*I7+Settings!$D$3*J7+Settings!$E$3*K7,"")</f>
        <v/>
      </c>
    </row>
    <row r="8">
      <c r="A8" t="inlineStr">
        <is>
          <t>V07</t>
        </is>
      </c>
      <c r="B8" t="inlineStr">
        <is>
          <t>K6</t>
        </is>
      </c>
      <c r="C8" t="inlineStr">
        <is>
          <t>art</t>
        </is>
      </c>
      <c r="D8" t="n">
        <v>40</v>
      </c>
      <c r="F8" t="n">
        <v>0</v>
      </c>
      <c r="G8">
        <f>LOWER(TRIM(C8))</f>
        <v/>
      </c>
      <c r="H8">
        <f>IF(D8&lt;=0,"EXCLUDED",IF(E8="",0.5,E8/D8))</f>
        <v/>
      </c>
      <c r="I8">
        <f>IF(COUNTIF(User!$A$2:$A$4,G8)&gt;0,1,0)</f>
        <v/>
      </c>
      <c r="J8">
        <f>IF(F8&lt;=2,1,0)</f>
        <v/>
      </c>
      <c r="K8">
        <f>IF(COUNTIF(User!$B$2:$B$4,B8)&gt;0,0,1)</f>
        <v/>
      </c>
      <c r="L8">
        <f>IF(ISNUMBER(H8),Settings!$B$2*H8+Settings!$C$2*I8+Settings!$D$2*J8+Settings!$E$2*K8,"")</f>
        <v/>
      </c>
      <c r="M8">
        <f>IF(ISNUMBER(H8),Settings!$B$3*H8+Settings!$C$3*I8+Settings!$D$3*J8+Settings!$E$3*K8,"")</f>
        <v/>
      </c>
    </row>
    <row r="9">
      <c r="A9" t="inlineStr">
        <is>
          <t>V08</t>
        </is>
      </c>
      <c r="B9" t="inlineStr">
        <is>
          <t>K7</t>
        </is>
      </c>
      <c r="C9" t="inlineStr">
        <is>
          <t>science</t>
        </is>
      </c>
      <c r="D9" t="n">
        <v>20</v>
      </c>
      <c r="E9" t="n">
        <v>15</v>
      </c>
      <c r="F9" t="n">
        <v>4</v>
      </c>
      <c r="G9">
        <f>LOWER(TRIM(C9))</f>
        <v/>
      </c>
      <c r="H9">
        <f>IF(D9&lt;=0,"EXCLUDED",IF(E9="",0.5,E9/D9))</f>
        <v/>
      </c>
      <c r="I9">
        <f>IF(COUNTIF(User!$A$2:$A$4,G9)&gt;0,1,0)</f>
        <v/>
      </c>
      <c r="J9">
        <f>IF(F9&lt;=2,1,0)</f>
        <v/>
      </c>
      <c r="K9">
        <f>IF(COUNTIF(User!$B$2:$B$4,B9)&gt;0,0,1)</f>
        <v/>
      </c>
      <c r="L9">
        <f>IF(ISNUMBER(H9),Settings!$B$2*H9+Settings!$C$2*I9+Settings!$D$2*J9+Settings!$E$2*K9,"")</f>
        <v/>
      </c>
      <c r="M9">
        <f>IF(ISNUMBER(H9),Settings!$B$3*H9+Settings!$C$3*I9+Settings!$D$3*J9+Settings!$E$3*K9,"")</f>
        <v/>
      </c>
    </row>
    <row r="10">
      <c r="A10" t="inlineStr">
        <is>
          <t>V09</t>
        </is>
      </c>
      <c r="B10" t="inlineStr">
        <is>
          <t>K2</t>
        </is>
      </c>
      <c r="C10" t="inlineStr">
        <is>
          <t xml:space="preserve">Football </t>
        </is>
      </c>
      <c r="D10" t="n">
        <v>30</v>
      </c>
      <c r="E10" t="n">
        <v>27</v>
      </c>
      <c r="F10" t="n">
        <v>8</v>
      </c>
      <c r="G10">
        <f>LOWER(TRIM(C10))</f>
        <v/>
      </c>
      <c r="H10">
        <f>IF(D10&lt;=0,"EXCLUDED",IF(E10="",0.5,E10/D10))</f>
        <v/>
      </c>
      <c r="I10">
        <f>IF(COUNTIF(User!$A$2:$A$4,G10)&gt;0,1,0)</f>
        <v/>
      </c>
      <c r="J10">
        <f>IF(F10&lt;=2,1,0)</f>
        <v/>
      </c>
      <c r="K10">
        <f>IF(COUNTIF(User!$B$2:$B$4,B10)&gt;0,0,1)</f>
        <v/>
      </c>
      <c r="L10">
        <f>IF(ISNUMBER(H10),Settings!$B$2*H10+Settings!$C$2*I10+Settings!$D$2*J10+Settings!$E$2*K10,"")</f>
        <v/>
      </c>
      <c r="M10">
        <f>IF(ISNUMBER(H10),Settings!$B$3*H10+Settings!$C$3*I10+Settings!$D$3*J10+Settings!$E$3*K10,"")</f>
        <v/>
      </c>
    </row>
    <row r="11">
      <c r="A11" t="inlineStr">
        <is>
          <t>V10</t>
        </is>
      </c>
      <c r="B11" t="inlineStr">
        <is>
          <t>K8</t>
        </is>
      </c>
      <c r="C11" t="inlineStr">
        <is>
          <t>language learning</t>
        </is>
      </c>
      <c r="D11" t="n">
        <v>45</v>
      </c>
      <c r="E11" t="n">
        <v>36</v>
      </c>
      <c r="F11" t="n">
        <v>2</v>
      </c>
      <c r="G11">
        <f>LOWER(TRIM(C11))</f>
        <v/>
      </c>
      <c r="H11">
        <f>IF(D11&lt;=0,"EXCLUDED",IF(E11="",0.5,E11/D11))</f>
        <v/>
      </c>
      <c r="I11">
        <f>IF(COUNTIF(User!$A$2:$A$4,G11)&gt;0,1,0)</f>
        <v/>
      </c>
      <c r="J11">
        <f>IF(F11&lt;=2,1,0)</f>
        <v/>
      </c>
      <c r="K11">
        <f>IF(COUNTIF(User!$B$2:$B$4,B11)&gt;0,0,1)</f>
        <v/>
      </c>
      <c r="L11">
        <f>IF(ISNUMBER(H11),Settings!$B$2*H11+Settings!$C$2*I11+Settings!$D$2*J11+Settings!$E$2*K11,"")</f>
        <v/>
      </c>
      <c r="M11">
        <f>IF(ISNUMBER(H11),Settings!$B$3*H11+Settings!$C$3*I11+Settings!$D$3*J11+Settings!$E$3*K11,"")</f>
        <v/>
      </c>
    </row>
    <row r="12">
      <c r="A12" t="inlineStr">
        <is>
          <t>V11</t>
        </is>
      </c>
      <c r="B12" t="inlineStr">
        <is>
          <t>K5</t>
        </is>
      </c>
      <c r="C12" t="inlineStr">
        <is>
          <t>music</t>
        </is>
      </c>
      <c r="D12" t="n">
        <v>0</v>
      </c>
      <c r="E12" t="n">
        <v>0</v>
      </c>
      <c r="F12" t="n">
        <v>1</v>
      </c>
      <c r="G12">
        <f>LOWER(TRIM(C12))</f>
        <v/>
      </c>
      <c r="H12">
        <f>IF(D12&lt;=0,"EXCLUDED",IF(E12="",0.5,E12/D12))</f>
        <v/>
      </c>
      <c r="I12">
        <f>IF(COUNTIF(User!$A$2:$A$4,G12)&gt;0,1,0)</f>
        <v/>
      </c>
      <c r="J12">
        <f>IF(F12&lt;=2,1,0)</f>
        <v/>
      </c>
      <c r="K12">
        <f>IF(COUNTIF(User!$B$2:$B$4,B12)&gt;0,0,1)</f>
        <v/>
      </c>
      <c r="L12">
        <f>IF(ISNUMBER(H12),Settings!$B$2*H12+Settings!$C$2*I12+Settings!$D$2*J12+Settings!$E$2*K12,"")</f>
        <v/>
      </c>
      <c r="M12">
        <f>IF(ISNUMBER(H12),Settings!$B$3*H12+Settings!$C$3*I12+Settings!$D$3*J12+Settings!$E$3*K12,"")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2026-09-27T19:12:32Z</dcterms:created>
  <dcterms:modified xsi:type="dcterms:W3CDTF">2026-09-27T19:12:32Z</dcterms:modified>
</cp:coreProperties>
</file>